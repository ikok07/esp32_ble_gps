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/CLionProjects/esp32-light-switch/docs/"/>
    </mc:Choice>
  </mc:AlternateContent>
  <xr:revisionPtr revIDLastSave="0" documentId="13_ncr:1_{C1C1978F-CB28-C94E-9FFA-AD62C627E7BC}" xr6:coauthVersionLast="47" xr6:coauthVersionMax="47" xr10:uidLastSave="{00000000-0000-0000-0000-000000000000}"/>
  <bookViews>
    <workbookView xWindow="4140" yWindow="2700" windowWidth="28040" windowHeight="17180" xr2:uid="{3925CBBA-9425-4243-AAD1-1C53B1364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22" i="1"/>
  <c r="E12" i="1"/>
  <c r="E3" i="1"/>
  <c r="E4" i="1"/>
  <c r="E5" i="1"/>
  <c r="E6" i="1"/>
  <c r="E7" i="1"/>
  <c r="E8" i="1"/>
  <c r="E9" i="1"/>
  <c r="E10" i="1"/>
  <c r="E11" i="1"/>
  <c r="E13" i="1"/>
  <c r="E15" i="1"/>
  <c r="E16" i="1"/>
  <c r="E17" i="1"/>
  <c r="E18" i="1"/>
  <c r="E19" i="1"/>
  <c r="E20" i="1"/>
  <c r="E21" i="1"/>
  <c r="E2" i="1"/>
  <c r="E23" i="1" l="1"/>
</calcChain>
</file>

<file path=xl/sharedStrings.xml><?xml version="1.0" encoding="utf-8"?>
<sst xmlns="http://schemas.openxmlformats.org/spreadsheetml/2006/main" count="67" uniqueCount="64">
  <si>
    <t>Part</t>
  </si>
  <si>
    <t>Designator</t>
  </si>
  <si>
    <t>Quantity</t>
  </si>
  <si>
    <t>Price</t>
  </si>
  <si>
    <t>URL</t>
  </si>
  <si>
    <t>Real Price</t>
  </si>
  <si>
    <t>ESP32-WROOM-32E</t>
  </si>
  <si>
    <t>https://www.aliexpress.com/item/1005010001114193.html?spm=a2g0o.productlist.main.2.1e411c60tBxnrI&amp;algo_pvid=7f81ab6e-c626-4516-930a-f26c57c35cb3&amp;algo_exp_id=7f81ab6e-c626-4516-930a-f26c57c35cb3-1&amp;pdp_ext_f=%7B%22order%22%3A%2287%22%2C%22spu_best_type%22%3A%22price%22%2C%22eval%22%3A%221%22%2C%22fromPage%22%3A%22search%22%7D&amp;pdp_npi=6%40dis%21BGN%2111.06%2111.28%21%21%2145.72%2146.63%21%40211b431017717531002058647eb05b%2112000050806262041%21sea%21BG%213190334324%21X%211%210%21n_tag%3A-29919%3Bd%3A74fd2ea5%3Bm03_new_user%3A-29895&amp;curPageLogUid=aFv157UnmCcQ&amp;utparam-url=scene%3Asearch%7Cquery_from%3A%7Cx_object_id%3A1005010001114193%7C_p_origin_prod%3A</t>
  </si>
  <si>
    <t>https://tpetrov.com/ltv817s-lit-247331</t>
  </si>
  <si>
    <t>PC817 (Optocoupler)</t>
  </si>
  <si>
    <t>HLK-PM01 (Power supply)</t>
  </si>
  <si>
    <t>MIC5205 (Voltage regulator)</t>
  </si>
  <si>
    <t>AC Terminal Screw 01x02</t>
  </si>
  <si>
    <t>J2</t>
  </si>
  <si>
    <t>U1</t>
  </si>
  <si>
    <t>PS2</t>
  </si>
  <si>
    <t>U2</t>
  </si>
  <si>
    <t>U3</t>
  </si>
  <si>
    <t>D1</t>
  </si>
  <si>
    <t>https://tpetrov.com/kondenzator-47mf-25v-smd-tantal-35838</t>
  </si>
  <si>
    <t>Capacitor Tantalum (4.7uF)</t>
  </si>
  <si>
    <t>Capacitor (0.1uF)</t>
  </si>
  <si>
    <t>Capacitor (470pF)</t>
  </si>
  <si>
    <t>C7</t>
  </si>
  <si>
    <t>https://tpetrov.com/kondenzator-470pf-100v-47046</t>
  </si>
  <si>
    <t>https://tpetrov.com/kondenzator-100nf-50v-0805-smd-34785</t>
  </si>
  <si>
    <t>Capacitor (22uF)</t>
  </si>
  <si>
    <t>C2</t>
  </si>
  <si>
    <t>https://tpetrov.com/kondenzator-22mf-63v-smd-0805-243684</t>
  </si>
  <si>
    <t>Resistor (10K)</t>
  </si>
  <si>
    <t>https://tpetrov.com/rezistor-10kom-smd-0805-22597</t>
  </si>
  <si>
    <t>Touch button</t>
  </si>
  <si>
    <t>https://tpetrov.com/tach-buton-121-9505</t>
  </si>
  <si>
    <t>C5</t>
  </si>
  <si>
    <t>R1, R2, R3</t>
  </si>
  <si>
    <t>SW1, SW2</t>
  </si>
  <si>
    <t>Toggle button</t>
  </si>
  <si>
    <t>Resistor (220)</t>
  </si>
  <si>
    <t>R4</t>
  </si>
  <si>
    <t>https://tpetrov.com/rezistor-220om-smd-0805-250613</t>
  </si>
  <si>
    <t>Varistor 275V</t>
  </si>
  <si>
    <t>https://tpetrov.com/varistor-275v-125mm-240814</t>
  </si>
  <si>
    <t>RV1</t>
  </si>
  <si>
    <t>Fuse (500mA)</t>
  </si>
  <si>
    <t>https://tpetrov.com/predpazitel-5x20-05a-zkm-36366</t>
  </si>
  <si>
    <t>F1</t>
  </si>
  <si>
    <t>https://tpetrov.com/klema-dg306-02p-36674</t>
  </si>
  <si>
    <t>J3</t>
  </si>
  <si>
    <t>https://tpetrov.com/buton-swb1019a-r-240936</t>
  </si>
  <si>
    <t>Fuse holder</t>
  </si>
  <si>
    <t>https://tpetrov.com/darjach-za-predpazitel-f313-5x20-39121</t>
  </si>
  <si>
    <t>-</t>
  </si>
  <si>
    <t>Connector (Male &amp; Female)</t>
  </si>
  <si>
    <t>https://tpetrov.com/kuplung-396-ns39-02mg-46470</t>
  </si>
  <si>
    <t>https://tpetrov.com/btb16-800brg-242340</t>
  </si>
  <si>
    <t>BTB16-800BRG (TRIAC)</t>
  </si>
  <si>
    <t>Heatsink (TRIAC)</t>
  </si>
  <si>
    <t>https://tpetrov.com/radiator-n23-40566</t>
  </si>
  <si>
    <t>Q2</t>
  </si>
  <si>
    <t>Resistor (100)</t>
  </si>
  <si>
    <t>https://tpetrov.com/rezistor-100om-0125w-smd-22589</t>
  </si>
  <si>
    <t>R5, R6</t>
  </si>
  <si>
    <t>WS2812B LED</t>
  </si>
  <si>
    <t>C1, C3, C4, C6, C8, 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</si>
</sst>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1" fillId="2" borderId="1" xfId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etrov.com/varistor-275v-125mm-240814" TargetMode="External"/><Relationship Id="rId3" Type="http://schemas.openxmlformats.org/officeDocument/2006/relationships/hyperlink" Target="https://tpetrov.com/rezistor-220om-smd-0805-250613" TargetMode="External"/><Relationship Id="rId7" Type="http://schemas.openxmlformats.org/officeDocument/2006/relationships/hyperlink" Target="https://tpetrov.com/predpazitel-5x20-05a-zkm-36366" TargetMode="External"/><Relationship Id="rId2" Type="http://schemas.openxmlformats.org/officeDocument/2006/relationships/hyperlink" Target="https://tpetrov.com/kondenzator-470pf-100v-47046" TargetMode="External"/><Relationship Id="rId1" Type="http://schemas.openxmlformats.org/officeDocument/2006/relationships/hyperlink" Target="https://tpetrov.com/ltv817s-lit-247331" TargetMode="External"/><Relationship Id="rId6" Type="http://schemas.openxmlformats.org/officeDocument/2006/relationships/hyperlink" Target="https://tpetrov.com/tach-buton-121-9505" TargetMode="External"/><Relationship Id="rId5" Type="http://schemas.openxmlformats.org/officeDocument/2006/relationships/hyperlink" Target="https://tpetrov.com/kondenzator-100nf-50v-0805-smd-34785" TargetMode="External"/><Relationship Id="rId4" Type="http://schemas.openxmlformats.org/officeDocument/2006/relationships/hyperlink" Target="https://tpetrov.com/kondenzator-47mf-25v-smd-tantal-35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F765-CC6B-A549-B659-CF658C4B9F27}">
  <dimension ref="A1:F23"/>
  <sheetViews>
    <sheetView tabSelected="1" zoomScale="131" zoomScaleNormal="131" workbookViewId="0">
      <selection activeCell="C10" sqref="C10"/>
    </sheetView>
  </sheetViews>
  <sheetFormatPr baseColWidth="10" defaultRowHeight="16" x14ac:dyDescent="0.2"/>
  <cols>
    <col min="1" max="1" width="32.6640625" customWidth="1"/>
    <col min="2" max="2" width="22.5" customWidth="1"/>
    <col min="6" max="6" width="18.5" customWidth="1"/>
  </cols>
  <sheetData>
    <row r="1" spans="1:6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  <row r="2" spans="1:6" x14ac:dyDescent="0.2">
      <c r="A2" s="1" t="s">
        <v>6</v>
      </c>
      <c r="B2" s="1" t="s">
        <v>14</v>
      </c>
      <c r="C2" s="4">
        <v>1</v>
      </c>
      <c r="D2" s="5">
        <v>0</v>
      </c>
      <c r="E2" s="5">
        <f>C2*D2</f>
        <v>0</v>
      </c>
      <c r="F2" s="1"/>
    </row>
    <row r="3" spans="1:6" x14ac:dyDescent="0.2">
      <c r="A3" s="1" t="s">
        <v>10</v>
      </c>
      <c r="B3" s="1" t="s">
        <v>15</v>
      </c>
      <c r="C3" s="4">
        <v>1</v>
      </c>
      <c r="D3" s="5">
        <v>3</v>
      </c>
      <c r="E3" s="5">
        <f t="shared" ref="E3:E22" si="0">C3*D3</f>
        <v>3</v>
      </c>
      <c r="F3" s="6" t="s">
        <v>7</v>
      </c>
    </row>
    <row r="4" spans="1:6" x14ac:dyDescent="0.2">
      <c r="A4" s="1" t="s">
        <v>9</v>
      </c>
      <c r="B4" s="1" t="s">
        <v>16</v>
      </c>
      <c r="C4" s="4">
        <v>1</v>
      </c>
      <c r="D4" s="5">
        <v>0.26</v>
      </c>
      <c r="E4" s="5">
        <f t="shared" si="0"/>
        <v>0.26</v>
      </c>
      <c r="F4" s="6" t="s">
        <v>8</v>
      </c>
    </row>
    <row r="5" spans="1:6" x14ac:dyDescent="0.2">
      <c r="A5" s="1" t="s">
        <v>55</v>
      </c>
      <c r="B5" s="1" t="s">
        <v>58</v>
      </c>
      <c r="C5" s="4">
        <v>1</v>
      </c>
      <c r="D5" s="5">
        <v>1.07</v>
      </c>
      <c r="E5" s="5">
        <f t="shared" si="0"/>
        <v>1.07</v>
      </c>
      <c r="F5" s="6" t="s">
        <v>54</v>
      </c>
    </row>
    <row r="6" spans="1:6" x14ac:dyDescent="0.2">
      <c r="A6" s="1" t="s">
        <v>12</v>
      </c>
      <c r="B6" s="1" t="s">
        <v>13</v>
      </c>
      <c r="C6" s="4">
        <v>1</v>
      </c>
      <c r="D6" s="5">
        <v>0.26</v>
      </c>
      <c r="E6" s="5">
        <f t="shared" si="0"/>
        <v>0.26</v>
      </c>
      <c r="F6" s="6" t="s">
        <v>46</v>
      </c>
    </row>
    <row r="7" spans="1:6" x14ac:dyDescent="0.2">
      <c r="A7" s="1" t="s">
        <v>11</v>
      </c>
      <c r="B7" s="1" t="s">
        <v>17</v>
      </c>
      <c r="C7" s="4">
        <v>1</v>
      </c>
      <c r="D7" s="5">
        <v>0</v>
      </c>
      <c r="E7" s="5">
        <f t="shared" si="0"/>
        <v>0</v>
      </c>
      <c r="F7" s="6"/>
    </row>
    <row r="8" spans="1:6" x14ac:dyDescent="0.2">
      <c r="A8" s="1" t="s">
        <v>20</v>
      </c>
      <c r="B8" s="1" t="s">
        <v>33</v>
      </c>
      <c r="C8" s="4">
        <v>1</v>
      </c>
      <c r="D8" s="5">
        <v>0.64</v>
      </c>
      <c r="E8" s="5">
        <f t="shared" si="0"/>
        <v>0.64</v>
      </c>
      <c r="F8" s="6" t="s">
        <v>19</v>
      </c>
    </row>
    <row r="9" spans="1:6" x14ac:dyDescent="0.2">
      <c r="A9" s="1" t="s">
        <v>21</v>
      </c>
      <c r="B9" s="1" t="s">
        <v>63</v>
      </c>
      <c r="C9" s="4">
        <v>6</v>
      </c>
      <c r="D9" s="5">
        <v>0.06</v>
      </c>
      <c r="E9" s="5">
        <f t="shared" si="0"/>
        <v>0.36</v>
      </c>
      <c r="F9" s="6" t="s">
        <v>25</v>
      </c>
    </row>
    <row r="10" spans="1:6" x14ac:dyDescent="0.2">
      <c r="A10" s="1" t="s">
        <v>22</v>
      </c>
      <c r="B10" s="1" t="s">
        <v>23</v>
      </c>
      <c r="C10" s="4">
        <v>1</v>
      </c>
      <c r="D10" s="5">
        <v>0.08</v>
      </c>
      <c r="E10" s="5">
        <f t="shared" si="0"/>
        <v>0.08</v>
      </c>
      <c r="F10" s="6" t="s">
        <v>24</v>
      </c>
    </row>
    <row r="11" spans="1:6" x14ac:dyDescent="0.2">
      <c r="A11" s="1" t="s">
        <v>26</v>
      </c>
      <c r="B11" s="1" t="s">
        <v>27</v>
      </c>
      <c r="C11" s="4">
        <v>1</v>
      </c>
      <c r="D11" s="5">
        <v>0.1</v>
      </c>
      <c r="E11" s="5">
        <f t="shared" si="0"/>
        <v>0.1</v>
      </c>
      <c r="F11" s="6" t="s">
        <v>28</v>
      </c>
    </row>
    <row r="12" spans="1:6" x14ac:dyDescent="0.2">
      <c r="A12" s="1" t="s">
        <v>37</v>
      </c>
      <c r="B12" s="1" t="s">
        <v>38</v>
      </c>
      <c r="C12" s="4">
        <v>1</v>
      </c>
      <c r="D12" s="5">
        <v>0.08</v>
      </c>
      <c r="E12" s="5">
        <f t="shared" si="0"/>
        <v>0.08</v>
      </c>
      <c r="F12" s="6" t="s">
        <v>39</v>
      </c>
    </row>
    <row r="13" spans="1:6" x14ac:dyDescent="0.2">
      <c r="A13" s="1" t="s">
        <v>29</v>
      </c>
      <c r="B13" s="1" t="s">
        <v>34</v>
      </c>
      <c r="C13" s="4">
        <v>3</v>
      </c>
      <c r="D13" s="5">
        <v>0.03</v>
      </c>
      <c r="E13" s="5">
        <f>C13*D13</f>
        <v>0.09</v>
      </c>
      <c r="F13" s="6" t="s">
        <v>30</v>
      </c>
    </row>
    <row r="14" spans="1:6" x14ac:dyDescent="0.2">
      <c r="A14" s="1" t="s">
        <v>59</v>
      </c>
      <c r="B14" s="1" t="s">
        <v>61</v>
      </c>
      <c r="C14" s="4">
        <v>2</v>
      </c>
      <c r="D14" s="5">
        <v>0.06</v>
      </c>
      <c r="E14" s="5">
        <f>C14*D14</f>
        <v>0.12</v>
      </c>
      <c r="F14" s="6" t="s">
        <v>60</v>
      </c>
    </row>
    <row r="15" spans="1:6" x14ac:dyDescent="0.2">
      <c r="A15" s="1" t="s">
        <v>31</v>
      </c>
      <c r="B15" s="1" t="s">
        <v>35</v>
      </c>
      <c r="C15" s="4">
        <v>2</v>
      </c>
      <c r="D15" s="5">
        <v>0.09</v>
      </c>
      <c r="E15" s="5">
        <f>C15*D15</f>
        <v>0.18</v>
      </c>
      <c r="F15" s="6" t="s">
        <v>32</v>
      </c>
    </row>
    <row r="16" spans="1:6" x14ac:dyDescent="0.2">
      <c r="A16" s="1" t="s">
        <v>36</v>
      </c>
      <c r="B16" s="1" t="s">
        <v>47</v>
      </c>
      <c r="C16" s="4">
        <v>1</v>
      </c>
      <c r="D16" s="5">
        <v>0.97</v>
      </c>
      <c r="E16" s="5">
        <f>C16*D16</f>
        <v>0.97</v>
      </c>
      <c r="F16" s="6" t="s">
        <v>48</v>
      </c>
    </row>
    <row r="17" spans="1:6" x14ac:dyDescent="0.2">
      <c r="A17" s="1" t="s">
        <v>40</v>
      </c>
      <c r="B17" s="1" t="s">
        <v>42</v>
      </c>
      <c r="C17" s="4">
        <v>1</v>
      </c>
      <c r="D17" s="5">
        <v>0.36</v>
      </c>
      <c r="E17" s="5">
        <f>C17*D17</f>
        <v>0.36</v>
      </c>
      <c r="F17" s="6" t="s">
        <v>41</v>
      </c>
    </row>
    <row r="18" spans="1:6" x14ac:dyDescent="0.2">
      <c r="A18" s="1" t="s">
        <v>43</v>
      </c>
      <c r="B18" s="1" t="s">
        <v>45</v>
      </c>
      <c r="C18" s="4">
        <v>1</v>
      </c>
      <c r="D18" s="5">
        <v>0.1</v>
      </c>
      <c r="E18" s="5">
        <f>C18*D18</f>
        <v>0.1</v>
      </c>
      <c r="F18" s="6" t="s">
        <v>44</v>
      </c>
    </row>
    <row r="19" spans="1:6" x14ac:dyDescent="0.2">
      <c r="A19" s="1" t="s">
        <v>49</v>
      </c>
      <c r="B19" s="1" t="s">
        <v>51</v>
      </c>
      <c r="C19" s="4">
        <v>1</v>
      </c>
      <c r="D19" s="5">
        <v>0.26</v>
      </c>
      <c r="E19" s="5">
        <f>C19*D19</f>
        <v>0.26</v>
      </c>
      <c r="F19" s="6" t="s">
        <v>50</v>
      </c>
    </row>
    <row r="20" spans="1:6" x14ac:dyDescent="0.2">
      <c r="A20" s="1" t="s">
        <v>52</v>
      </c>
      <c r="B20" s="1" t="s">
        <v>51</v>
      </c>
      <c r="C20" s="4">
        <v>1</v>
      </c>
      <c r="D20" s="5">
        <v>0.1</v>
      </c>
      <c r="E20" s="5">
        <f>C20*D20</f>
        <v>0.1</v>
      </c>
      <c r="F20" s="6" t="s">
        <v>53</v>
      </c>
    </row>
    <row r="21" spans="1:6" x14ac:dyDescent="0.2">
      <c r="A21" s="1" t="s">
        <v>56</v>
      </c>
      <c r="B21" s="1" t="s">
        <v>51</v>
      </c>
      <c r="C21" s="4">
        <v>1</v>
      </c>
      <c r="D21" s="5">
        <v>0.51</v>
      </c>
      <c r="E21" s="5">
        <f>C21*D21</f>
        <v>0.51</v>
      </c>
      <c r="F21" s="6" t="s">
        <v>57</v>
      </c>
    </row>
    <row r="22" spans="1:6" x14ac:dyDescent="0.2">
      <c r="A22" s="1" t="s">
        <v>62</v>
      </c>
      <c r="B22" s="1" t="s">
        <v>18</v>
      </c>
      <c r="C22" s="4">
        <v>1</v>
      </c>
      <c r="D22" s="5">
        <v>0</v>
      </c>
      <c r="E22" s="5">
        <f t="shared" si="0"/>
        <v>0</v>
      </c>
      <c r="F22" s="6" t="s">
        <v>51</v>
      </c>
    </row>
    <row r="23" spans="1:6" x14ac:dyDescent="0.2">
      <c r="A23" s="7"/>
      <c r="B23" s="7"/>
      <c r="C23" s="8"/>
      <c r="D23" s="9"/>
      <c r="E23" s="9">
        <f>SUM(E2:E22)</f>
        <v>8.5399999999999991</v>
      </c>
      <c r="F23" s="7"/>
    </row>
  </sheetData>
  <phoneticPr fontId="3" type="noConversion"/>
  <hyperlinks>
    <hyperlink ref="F4" r:id="rId1" xr:uid="{759A1BD0-0127-9B4B-BB1E-4B78E88D3612}"/>
    <hyperlink ref="F10" r:id="rId2" xr:uid="{E41B17FA-3137-104C-A892-03E86CDFAEE0}"/>
    <hyperlink ref="F12" r:id="rId3" xr:uid="{408722E1-55A1-474F-9C15-07F62CEE1822}"/>
    <hyperlink ref="F8" r:id="rId4" xr:uid="{BA739502-729E-EE46-B519-CCFF30B3A4C5}"/>
    <hyperlink ref="F9" r:id="rId5" xr:uid="{6D6F5F51-B40C-A644-B24A-1F7154240B1B}"/>
    <hyperlink ref="F15" r:id="rId6" xr:uid="{37D7826B-6518-3A48-83DA-8658A7B84E20}"/>
    <hyperlink ref="F18" r:id="rId7" xr:uid="{30B50112-4124-4047-8A14-8503A3EA9C9F}"/>
    <hyperlink ref="F17" r:id="rId8" xr:uid="{159B2F44-44FE-CD4C-B025-8D97CFABE8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П. Стефанов</dc:creator>
  <cp:lastModifiedBy>Kaloyan Stefanov</cp:lastModifiedBy>
  <dcterms:created xsi:type="dcterms:W3CDTF">2026-01-12T16:01:52Z</dcterms:created>
  <dcterms:modified xsi:type="dcterms:W3CDTF">2026-02-26T06:47:43Z</dcterms:modified>
</cp:coreProperties>
</file>